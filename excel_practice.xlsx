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GITA\Downloads\"/>
    </mc:Choice>
  </mc:AlternateContent>
  <xr:revisionPtr revIDLastSave="0" documentId="13_ncr:1_{4333C475-72FD-4A1E-9757-D8B931E6C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N3" i="1"/>
  <c r="N4" i="1"/>
  <c r="N5" i="1"/>
  <c r="N6" i="1"/>
  <c r="N7" i="1"/>
  <c r="N8" i="1"/>
  <c r="N9" i="1"/>
  <c r="N10" i="1"/>
  <c r="N11" i="1"/>
  <c r="N2" i="1"/>
  <c r="D3" i="1"/>
  <c r="D4" i="1"/>
  <c r="D5" i="1"/>
  <c r="D6" i="1"/>
  <c r="D7" i="1"/>
  <c r="D8" i="1"/>
  <c r="D9" i="1"/>
  <c r="D10" i="1"/>
  <c r="D11" i="1"/>
  <c r="D2" i="1"/>
  <c r="L29" i="1"/>
  <c r="L28" i="1"/>
  <c r="L27" i="1"/>
  <c r="L26" i="1"/>
  <c r="L24" i="1"/>
  <c r="J2" i="1"/>
  <c r="J3" i="1"/>
  <c r="J4" i="1"/>
  <c r="J5" i="1"/>
  <c r="J6" i="1"/>
  <c r="J7" i="1"/>
  <c r="J8" i="1"/>
  <c r="J9" i="1"/>
  <c r="J10" i="1"/>
  <c r="J11" i="1"/>
  <c r="F3" i="1"/>
  <c r="F4" i="1"/>
  <c r="F5" i="1"/>
  <c r="F6" i="1"/>
  <c r="F7" i="1"/>
  <c r="F8" i="1"/>
  <c r="F9" i="1"/>
  <c r="F10" i="1"/>
  <c r="F11" i="1"/>
  <c r="F2" i="1"/>
  <c r="I3" i="1"/>
  <c r="I4" i="1"/>
  <c r="I5" i="1"/>
  <c r="L25" i="1" s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L18" i="1"/>
  <c r="L17" i="1"/>
  <c r="L15" i="1"/>
  <c r="L16" i="1"/>
  <c r="L30" i="1" l="1"/>
  <c r="L31" i="1"/>
</calcChain>
</file>

<file path=xl/sharedStrings.xml><?xml version="1.0" encoding="utf-8"?>
<sst xmlns="http://schemas.openxmlformats.org/spreadsheetml/2006/main" count="94" uniqueCount="74">
  <si>
    <t>Order ID</t>
  </si>
  <si>
    <t>Product</t>
  </si>
  <si>
    <t>Category</t>
  </si>
  <si>
    <t>Quantity</t>
  </si>
  <si>
    <t>Price per Unit</t>
  </si>
  <si>
    <t>Salesperson</t>
  </si>
  <si>
    <t>Region</t>
  </si>
  <si>
    <t>Date</t>
  </si>
  <si>
    <t>Laptop</t>
  </si>
  <si>
    <t>Electronics</t>
  </si>
  <si>
    <t>Priya</t>
  </si>
  <si>
    <t>North</t>
  </si>
  <si>
    <t>2025-01-03</t>
  </si>
  <si>
    <t>Mouse</t>
  </si>
  <si>
    <t>Accessories</t>
  </si>
  <si>
    <t>Amit</t>
  </si>
  <si>
    <t>South</t>
  </si>
  <si>
    <t>2025-01-05</t>
  </si>
  <si>
    <t>Keyboard</t>
  </si>
  <si>
    <t>Neha</t>
  </si>
  <si>
    <t>East</t>
  </si>
  <si>
    <t>2025-01-06</t>
  </si>
  <si>
    <t>Mobile</t>
  </si>
  <si>
    <t>Rahul</t>
  </si>
  <si>
    <t>West</t>
  </si>
  <si>
    <t>2025-01-08</t>
  </si>
  <si>
    <t>Desk</t>
  </si>
  <si>
    <t>Furniture</t>
  </si>
  <si>
    <t>2025-01-09</t>
  </si>
  <si>
    <t>Chair</t>
  </si>
  <si>
    <t>2025-01-10</t>
  </si>
  <si>
    <t>Tablet</t>
  </si>
  <si>
    <t>2025-01-12</t>
  </si>
  <si>
    <t>Headphones</t>
  </si>
  <si>
    <t>2025-01-14</t>
  </si>
  <si>
    <t>Monitor</t>
  </si>
  <si>
    <t>2025-01-15</t>
  </si>
  <si>
    <t>Pendrive</t>
  </si>
  <si>
    <t>2025-01-16</t>
  </si>
  <si>
    <r>
      <t xml:space="preserve">Add the total </t>
    </r>
    <r>
      <rPr>
        <b/>
        <sz val="11"/>
        <color theme="1"/>
        <rFont val="Calibri"/>
        <family val="2"/>
        <scheme val="minor"/>
      </rPr>
      <t>Price per Unit</t>
    </r>
    <r>
      <rPr>
        <sz val="11"/>
        <color theme="1"/>
        <rFont val="Calibri"/>
        <family val="2"/>
        <scheme val="minor"/>
      </rPr>
      <t xml:space="preserve"> of Product 101 and Product 102.</t>
    </r>
  </si>
  <si>
    <r>
      <t xml:space="preserve">Add the </t>
    </r>
    <r>
      <rPr>
        <b/>
        <sz val="11"/>
        <color theme="1"/>
        <rFont val="Calibri"/>
        <family val="2"/>
        <scheme val="minor"/>
      </rPr>
      <t>Quantity + Price per Unit</t>
    </r>
    <r>
      <rPr>
        <sz val="11"/>
        <color theme="1"/>
        <rFont val="Calibri"/>
        <family val="2"/>
        <scheme val="minor"/>
      </rPr>
      <t xml:space="preserve"> for Order ID 105.</t>
    </r>
  </si>
  <si>
    <r>
      <t xml:space="preserve">Find the difference between </t>
    </r>
    <r>
      <rPr>
        <b/>
        <sz val="11"/>
        <color theme="1"/>
        <rFont val="Calibri"/>
        <family val="2"/>
        <scheme val="minor"/>
      </rPr>
      <t>Price per Unit</t>
    </r>
    <r>
      <rPr>
        <sz val="11"/>
        <color theme="1"/>
        <rFont val="Calibri"/>
        <family val="2"/>
        <scheme val="minor"/>
      </rPr>
      <t xml:space="preserve"> of Laptop and Mobile</t>
    </r>
  </si>
  <si>
    <t>Subtract Quantity of Order ID 110 from Quantity of Order ID 102</t>
  </si>
  <si>
    <r>
      <t xml:space="preserve">Subtract </t>
    </r>
    <r>
      <rPr>
        <b/>
        <sz val="11"/>
        <color theme="1"/>
        <rFont val="Calibri"/>
        <family val="2"/>
        <scheme val="minor"/>
      </rPr>
      <t>Price per Unit – Quantity</t>
    </r>
    <r>
      <rPr>
        <sz val="11"/>
        <color theme="1"/>
        <rFont val="Calibri"/>
        <family val="2"/>
        <scheme val="minor"/>
      </rPr>
      <t xml:space="preserve"> for each order</t>
    </r>
  </si>
  <si>
    <t>Price per Unit – Quantity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</si>
  <si>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Total Sales = Quantity × Price per Unit</t>
    </r>
    <r>
      <rPr>
        <sz val="11"/>
        <color theme="1"/>
        <rFont val="Calibri"/>
        <family val="2"/>
        <scheme val="minor"/>
      </rPr>
      <t>.</t>
    </r>
  </si>
  <si>
    <t>What is the Total Sales value for: Laptop, Mouse, Monitor</t>
  </si>
  <si>
    <t>Multiply Quantity × 2 for each order</t>
  </si>
  <si>
    <t xml:space="preserve"> Quantity × 2</t>
  </si>
  <si>
    <r>
      <t xml:space="preserve">Calculate </t>
    </r>
    <r>
      <rPr>
        <b/>
        <sz val="11"/>
        <color theme="1"/>
        <rFont val="Calibri"/>
        <family val="2"/>
        <scheme val="minor"/>
      </rPr>
      <t>Price per Unit ÷ Quantity</t>
    </r>
    <r>
      <rPr>
        <sz val="11"/>
        <color theme="1"/>
        <rFont val="Calibri"/>
        <family val="2"/>
        <scheme val="minor"/>
      </rPr>
      <t xml:space="preserve"> for each product</t>
    </r>
  </si>
  <si>
    <t>Column H</t>
  </si>
  <si>
    <t>Column I</t>
  </si>
  <si>
    <t>Price per Unit ÷ Quantity</t>
  </si>
  <si>
    <r>
      <t xml:space="preserve">For Order ID 103, divide its </t>
    </r>
    <r>
      <rPr>
        <b/>
        <sz val="11"/>
        <color theme="1"/>
        <rFont val="Calibri"/>
        <family val="2"/>
        <scheme val="minor"/>
      </rPr>
      <t>Price per Unit</t>
    </r>
    <r>
      <rPr>
        <sz val="11"/>
        <color theme="1"/>
        <rFont val="Calibri"/>
        <family val="2"/>
        <scheme val="minor"/>
      </rPr>
      <t xml:space="preserve"> by </t>
    </r>
    <r>
      <rPr>
        <b/>
        <sz val="11"/>
        <color theme="1"/>
        <rFont val="Calibri"/>
        <family val="2"/>
        <scheme val="minor"/>
      </rPr>
      <t>3</t>
    </r>
  </si>
  <si>
    <r>
      <t xml:space="preserve">Divide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of Order ID 104 by </t>
    </r>
    <r>
      <rPr>
        <b/>
        <sz val="11"/>
        <color theme="1"/>
        <rFont val="Calibri"/>
        <family val="2"/>
        <scheme val="minor"/>
      </rPr>
      <t>2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</si>
  <si>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maximum Quantity</t>
    </r>
    <r>
      <rPr>
        <sz val="11"/>
        <color theme="1"/>
        <rFont val="Calibri"/>
        <family val="2"/>
        <scheme val="minor"/>
      </rPr>
      <t xml:space="preserve"> ordered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</si>
  <si>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minimum Quantity</t>
    </r>
    <r>
      <rPr>
        <sz val="11"/>
        <color theme="1"/>
        <rFont val="Calibri"/>
        <family val="2"/>
        <scheme val="minor"/>
      </rPr>
      <t xml:space="preserve"> ordered.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</si>
  <si>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highest Price per Unit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</si>
  <si>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lowest Price per Unit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</si>
  <si>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highest Total Sales</t>
    </r>
    <r>
      <rPr>
        <sz val="11"/>
        <color theme="1"/>
        <rFont val="Calibri"/>
        <family val="2"/>
        <scheme val="minor"/>
      </rPr>
      <t xml:space="preserve"> (after creating Total Sales column).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</si>
  <si>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lowest Total Sales</t>
    </r>
    <r>
      <rPr>
        <sz val="11"/>
        <color theme="1"/>
        <rFont val="Calibri"/>
        <family val="2"/>
        <scheme val="minor"/>
      </rPr>
      <t>.</t>
    </r>
  </si>
  <si>
    <t>Total Sales</t>
  </si>
  <si>
    <r>
      <t xml:space="preserve">Combine </t>
    </r>
    <r>
      <rPr>
        <b/>
        <sz val="11"/>
        <color theme="1"/>
        <rFont val="Calibri"/>
        <family val="2"/>
        <scheme val="minor"/>
      </rPr>
      <t>Product + Category</t>
    </r>
    <r>
      <rPr>
        <sz val="11"/>
        <color theme="1"/>
        <rFont val="Calibri"/>
        <family val="2"/>
        <scheme val="minor"/>
      </rPr>
      <t xml:space="preserve"> in a new column</t>
    </r>
  </si>
  <si>
    <t>Product + Category</t>
  </si>
  <si>
    <r>
      <t xml:space="preserve">Combine </t>
    </r>
    <r>
      <rPr>
        <b/>
        <sz val="11"/>
        <color theme="1"/>
        <rFont val="Calibri"/>
        <family val="2"/>
        <scheme val="minor"/>
      </rPr>
      <t>Order ID + Product + Date</t>
    </r>
    <r>
      <rPr>
        <sz val="11"/>
        <color theme="1"/>
        <rFont val="Calibri"/>
        <family val="2"/>
        <scheme val="minor"/>
      </rPr>
      <t xml:space="preserve"> into one text</t>
    </r>
  </si>
  <si>
    <t>Order ID + Product + Date</t>
  </si>
  <si>
    <t>Column N</t>
  </si>
  <si>
    <t>Column D</t>
  </si>
  <si>
    <r>
      <t xml:space="preserve">Calculate the </t>
    </r>
    <r>
      <rPr>
        <b/>
        <sz val="11"/>
        <color theme="1"/>
        <rFont val="Calibri"/>
        <family val="2"/>
        <scheme val="minor"/>
      </rPr>
      <t>total Quantity</t>
    </r>
    <r>
      <rPr>
        <sz val="11"/>
        <color theme="1"/>
        <rFont val="Calibri"/>
        <family val="2"/>
        <scheme val="minor"/>
      </rPr>
      <t xml:space="preserve"> of all orders</t>
    </r>
  </si>
  <si>
    <t>Answer</t>
  </si>
  <si>
    <t>Basic Questions (Addition, Subtraction, Multiplication, Division, Max, Min, Concat)</t>
  </si>
  <si>
    <t>Column J</t>
  </si>
  <si>
    <t xml:space="preserve">Column F </t>
  </si>
  <si>
    <t>Created By : Yogita_Mohite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</si>
</sst>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36"/>
  <sheetViews>
    <sheetView tabSelected="1" zoomScaleNormal="100" workbookViewId="0">
      <selection activeCell="F40" sqref="F40"/>
    </sheetView>
  </sheetViews>
  <sheetFormatPr defaultRowHeight="14.4" x14ac:dyDescent="0.3"/>
  <cols>
    <col min="2" max="2" width="11.109375" bestFit="1" customWidth="1"/>
    <col min="3" max="3" width="10.44140625" bestFit="1" customWidth="1"/>
    <col min="4" max="4" width="21.33203125" bestFit="1" customWidth="1"/>
    <col min="6" max="6" width="11.33203125" bestFit="1" customWidth="1"/>
    <col min="7" max="7" width="12" bestFit="1" customWidth="1"/>
    <col min="8" max="8" width="21.109375" bestFit="1" customWidth="1"/>
    <col min="9" max="9" width="9.88671875" bestFit="1" customWidth="1"/>
    <col min="10" max="10" width="21.109375" customWidth="1"/>
    <col min="11" max="11" width="10.6640625" bestFit="1" customWidth="1"/>
    <col min="12" max="12" width="8.6640625" bestFit="1" customWidth="1"/>
    <col min="13" max="13" width="10.33203125" bestFit="1" customWidth="1"/>
    <col min="14" max="14" width="22.6640625" bestFit="1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63</v>
      </c>
      <c r="E1" s="2" t="s">
        <v>3</v>
      </c>
      <c r="F1" s="2" t="s">
        <v>48</v>
      </c>
      <c r="G1" s="2" t="s">
        <v>4</v>
      </c>
      <c r="H1" s="2" t="s">
        <v>44</v>
      </c>
      <c r="I1" s="3" t="s">
        <v>61</v>
      </c>
      <c r="J1" s="2" t="s">
        <v>52</v>
      </c>
      <c r="K1" s="2" t="s">
        <v>5</v>
      </c>
      <c r="L1" s="2" t="s">
        <v>6</v>
      </c>
      <c r="M1" s="2" t="s">
        <v>7</v>
      </c>
      <c r="N1" s="2" t="s">
        <v>65</v>
      </c>
    </row>
    <row r="2" spans="1:14" x14ac:dyDescent="0.3">
      <c r="A2">
        <v>101</v>
      </c>
      <c r="B2" t="s">
        <v>8</v>
      </c>
      <c r="C2" t="s">
        <v>9</v>
      </c>
      <c r="D2" t="str">
        <f>_xlfn.CONCAT(B2," ",C2)</f>
        <v>Laptop Electronics</v>
      </c>
      <c r="E2">
        <v>2</v>
      </c>
      <c r="F2">
        <f>E2*2</f>
        <v>4</v>
      </c>
      <c r="G2">
        <v>55000</v>
      </c>
      <c r="H2">
        <f>G2-E2</f>
        <v>54998</v>
      </c>
      <c r="I2">
        <f>G2*E2</f>
        <v>110000</v>
      </c>
      <c r="J2">
        <f>G2/E2</f>
        <v>27500</v>
      </c>
      <c r="K2" t="s">
        <v>10</v>
      </c>
      <c r="L2" t="s">
        <v>11</v>
      </c>
      <c r="M2" t="s">
        <v>12</v>
      </c>
      <c r="N2" t="str">
        <f>_xlfn.CONCAT(A2," ",B2," ",M2)</f>
        <v>101 Laptop 2025-01-03</v>
      </c>
    </row>
    <row r="3" spans="1:14" x14ac:dyDescent="0.3">
      <c r="A3">
        <v>102</v>
      </c>
      <c r="B3" t="s">
        <v>13</v>
      </c>
      <c r="C3" t="s">
        <v>14</v>
      </c>
      <c r="D3" t="str">
        <f t="shared" ref="D3:D11" si="0">_xlfn.CONCAT(B3," ",C3)</f>
        <v>Mouse Accessories</v>
      </c>
      <c r="E3">
        <v>5</v>
      </c>
      <c r="F3">
        <f t="shared" ref="F3:F11" si="1">E3*2</f>
        <v>10</v>
      </c>
      <c r="G3">
        <v>600</v>
      </c>
      <c r="H3">
        <f t="shared" ref="H3:H11" si="2">G3-E3</f>
        <v>595</v>
      </c>
      <c r="I3">
        <f t="shared" ref="I3:I11" si="3">G3*E3</f>
        <v>3000</v>
      </c>
      <c r="J3">
        <f t="shared" ref="J3:J11" si="4">G3/E3</f>
        <v>120</v>
      </c>
      <c r="K3" t="s">
        <v>15</v>
      </c>
      <c r="L3" t="s">
        <v>16</v>
      </c>
      <c r="M3" t="s">
        <v>17</v>
      </c>
      <c r="N3" t="str">
        <f t="shared" ref="N3:N11" si="5">_xlfn.CONCAT(A3," ",B3," ",M3)</f>
        <v>102 Mouse 2025-01-05</v>
      </c>
    </row>
    <row r="4" spans="1:14" x14ac:dyDescent="0.3">
      <c r="A4">
        <v>103</v>
      </c>
      <c r="B4" t="s">
        <v>18</v>
      </c>
      <c r="C4" t="s">
        <v>14</v>
      </c>
      <c r="D4" t="str">
        <f t="shared" si="0"/>
        <v>Keyboard Accessories</v>
      </c>
      <c r="E4">
        <v>3</v>
      </c>
      <c r="F4">
        <f t="shared" si="1"/>
        <v>6</v>
      </c>
      <c r="G4">
        <v>1200</v>
      </c>
      <c r="H4">
        <f t="shared" si="2"/>
        <v>1197</v>
      </c>
      <c r="I4">
        <f t="shared" si="3"/>
        <v>3600</v>
      </c>
      <c r="J4">
        <f t="shared" si="4"/>
        <v>400</v>
      </c>
      <c r="K4" t="s">
        <v>19</v>
      </c>
      <c r="L4" t="s">
        <v>20</v>
      </c>
      <c r="M4" t="s">
        <v>21</v>
      </c>
      <c r="N4" t="str">
        <f t="shared" si="5"/>
        <v>103 Keyboard 2025-01-06</v>
      </c>
    </row>
    <row r="5" spans="1:14" x14ac:dyDescent="0.3">
      <c r="A5">
        <v>104</v>
      </c>
      <c r="B5" t="s">
        <v>22</v>
      </c>
      <c r="C5" t="s">
        <v>9</v>
      </c>
      <c r="D5" t="str">
        <f t="shared" si="0"/>
        <v>Mobile Electronics</v>
      </c>
      <c r="E5">
        <v>1</v>
      </c>
      <c r="F5">
        <f t="shared" si="1"/>
        <v>2</v>
      </c>
      <c r="G5">
        <v>72000</v>
      </c>
      <c r="H5">
        <f t="shared" si="2"/>
        <v>71999</v>
      </c>
      <c r="I5">
        <f t="shared" si="3"/>
        <v>72000</v>
      </c>
      <c r="J5">
        <f t="shared" si="4"/>
        <v>72000</v>
      </c>
      <c r="K5" t="s">
        <v>23</v>
      </c>
      <c r="L5" t="s">
        <v>24</v>
      </c>
      <c r="M5" t="s">
        <v>25</v>
      </c>
      <c r="N5" t="str">
        <f t="shared" si="5"/>
        <v>104 Mobile 2025-01-08</v>
      </c>
    </row>
    <row r="6" spans="1:14" x14ac:dyDescent="0.3">
      <c r="A6">
        <v>105</v>
      </c>
      <c r="B6" t="s">
        <v>26</v>
      </c>
      <c r="C6" t="s">
        <v>27</v>
      </c>
      <c r="D6" t="str">
        <f t="shared" si="0"/>
        <v>Desk Furniture</v>
      </c>
      <c r="E6">
        <v>2</v>
      </c>
      <c r="F6">
        <f t="shared" si="1"/>
        <v>4</v>
      </c>
      <c r="G6">
        <v>8000</v>
      </c>
      <c r="H6">
        <f t="shared" si="2"/>
        <v>7998</v>
      </c>
      <c r="I6">
        <f t="shared" si="3"/>
        <v>16000</v>
      </c>
      <c r="J6">
        <f t="shared" si="4"/>
        <v>4000</v>
      </c>
      <c r="K6" t="s">
        <v>10</v>
      </c>
      <c r="L6" t="s">
        <v>16</v>
      </c>
      <c r="M6" t="s">
        <v>28</v>
      </c>
      <c r="N6" t="str">
        <f t="shared" si="5"/>
        <v>105 Desk 2025-01-09</v>
      </c>
    </row>
    <row r="7" spans="1:14" x14ac:dyDescent="0.3">
      <c r="A7">
        <v>106</v>
      </c>
      <c r="B7" t="s">
        <v>29</v>
      </c>
      <c r="C7" t="s">
        <v>27</v>
      </c>
      <c r="D7" t="str">
        <f t="shared" si="0"/>
        <v>Chair Furniture</v>
      </c>
      <c r="E7">
        <v>4</v>
      </c>
      <c r="F7">
        <f t="shared" si="1"/>
        <v>8</v>
      </c>
      <c r="G7">
        <v>4500</v>
      </c>
      <c r="H7">
        <f t="shared" si="2"/>
        <v>4496</v>
      </c>
      <c r="I7">
        <f t="shared" si="3"/>
        <v>18000</v>
      </c>
      <c r="J7">
        <f t="shared" si="4"/>
        <v>1125</v>
      </c>
      <c r="K7" t="s">
        <v>15</v>
      </c>
      <c r="L7" t="s">
        <v>11</v>
      </c>
      <c r="M7" t="s">
        <v>30</v>
      </c>
      <c r="N7" t="str">
        <f t="shared" si="5"/>
        <v>106 Chair 2025-01-10</v>
      </c>
    </row>
    <row r="8" spans="1:14" x14ac:dyDescent="0.3">
      <c r="A8">
        <v>107</v>
      </c>
      <c r="B8" t="s">
        <v>31</v>
      </c>
      <c r="C8" t="s">
        <v>9</v>
      </c>
      <c r="D8" t="str">
        <f t="shared" si="0"/>
        <v>Tablet Electronics</v>
      </c>
      <c r="E8">
        <v>1</v>
      </c>
      <c r="F8">
        <f t="shared" si="1"/>
        <v>2</v>
      </c>
      <c r="G8">
        <v>30000</v>
      </c>
      <c r="H8">
        <f t="shared" si="2"/>
        <v>29999</v>
      </c>
      <c r="I8">
        <f t="shared" si="3"/>
        <v>30000</v>
      </c>
      <c r="J8">
        <f t="shared" si="4"/>
        <v>30000</v>
      </c>
      <c r="K8" t="s">
        <v>19</v>
      </c>
      <c r="L8" t="s">
        <v>20</v>
      </c>
      <c r="M8" t="s">
        <v>32</v>
      </c>
      <c r="N8" t="str">
        <f t="shared" si="5"/>
        <v>107 Tablet 2025-01-12</v>
      </c>
    </row>
    <row r="9" spans="1:14" x14ac:dyDescent="0.3">
      <c r="A9">
        <v>108</v>
      </c>
      <c r="B9" t="s">
        <v>33</v>
      </c>
      <c r="C9" t="s">
        <v>14</v>
      </c>
      <c r="D9" t="str">
        <f t="shared" si="0"/>
        <v>Headphones Accessories</v>
      </c>
      <c r="E9">
        <v>6</v>
      </c>
      <c r="F9">
        <f t="shared" si="1"/>
        <v>12</v>
      </c>
      <c r="G9">
        <v>1500</v>
      </c>
      <c r="H9">
        <f t="shared" si="2"/>
        <v>1494</v>
      </c>
      <c r="I9">
        <f t="shared" si="3"/>
        <v>9000</v>
      </c>
      <c r="J9">
        <f t="shared" si="4"/>
        <v>250</v>
      </c>
      <c r="K9" t="s">
        <v>23</v>
      </c>
      <c r="L9" t="s">
        <v>11</v>
      </c>
      <c r="M9" t="s">
        <v>34</v>
      </c>
      <c r="N9" t="str">
        <f t="shared" si="5"/>
        <v>108 Headphones 2025-01-14</v>
      </c>
    </row>
    <row r="10" spans="1:14" x14ac:dyDescent="0.3">
      <c r="A10">
        <v>109</v>
      </c>
      <c r="B10" t="s">
        <v>35</v>
      </c>
      <c r="C10" t="s">
        <v>9</v>
      </c>
      <c r="D10" t="str">
        <f t="shared" si="0"/>
        <v>Monitor Electronics</v>
      </c>
      <c r="E10">
        <v>1</v>
      </c>
      <c r="F10">
        <f t="shared" si="1"/>
        <v>2</v>
      </c>
      <c r="G10">
        <v>18000</v>
      </c>
      <c r="H10">
        <f t="shared" si="2"/>
        <v>17999</v>
      </c>
      <c r="I10">
        <f t="shared" si="3"/>
        <v>18000</v>
      </c>
      <c r="J10">
        <f t="shared" si="4"/>
        <v>18000</v>
      </c>
      <c r="K10" t="s">
        <v>10</v>
      </c>
      <c r="L10" t="s">
        <v>24</v>
      </c>
      <c r="M10" t="s">
        <v>36</v>
      </c>
      <c r="N10" t="str">
        <f t="shared" si="5"/>
        <v>109 Monitor 2025-01-15</v>
      </c>
    </row>
    <row r="11" spans="1:14" x14ac:dyDescent="0.3">
      <c r="A11">
        <v>110</v>
      </c>
      <c r="B11" t="s">
        <v>37</v>
      </c>
      <c r="C11" t="s">
        <v>14</v>
      </c>
      <c r="D11" t="str">
        <f t="shared" si="0"/>
        <v>Pendrive Accessories</v>
      </c>
      <c r="E11">
        <v>10</v>
      </c>
      <c r="F11">
        <f t="shared" si="1"/>
        <v>20</v>
      </c>
      <c r="G11">
        <v>400</v>
      </c>
      <c r="H11">
        <f t="shared" si="2"/>
        <v>390</v>
      </c>
      <c r="I11">
        <f t="shared" si="3"/>
        <v>4000</v>
      </c>
      <c r="J11">
        <f t="shared" si="4"/>
        <v>40</v>
      </c>
      <c r="K11" t="s">
        <v>15</v>
      </c>
      <c r="L11" t="s">
        <v>20</v>
      </c>
      <c r="M11" t="s">
        <v>38</v>
      </c>
      <c r="N11" t="str">
        <f t="shared" si="5"/>
        <v>110 Pendrive 2025-01-16</v>
      </c>
    </row>
    <row r="13" spans="1:14" s="2" customFormat="1" x14ac:dyDescent="0.3">
      <c r="B13" s="2" t="s">
        <v>70</v>
      </c>
      <c r="L13" s="2" t="s">
        <v>69</v>
      </c>
    </row>
    <row r="14" spans="1:14" x14ac:dyDescent="0.3">
      <c r="B14" t="s">
        <v>68</v>
      </c>
      <c r="L14">
        <f>+SUM(E2:E11)</f>
        <v>35</v>
      </c>
    </row>
    <row r="15" spans="1:14" x14ac:dyDescent="0.3">
      <c r="B15" t="s">
        <v>39</v>
      </c>
      <c r="L15">
        <f>SUM(G2, G3)</f>
        <v>55600</v>
      </c>
    </row>
    <row r="16" spans="1:14" x14ac:dyDescent="0.3">
      <c r="B16" t="s">
        <v>40</v>
      </c>
      <c r="L16">
        <f>SUM(E6,G6)</f>
        <v>8002</v>
      </c>
    </row>
    <row r="17" spans="2:12" x14ac:dyDescent="0.3">
      <c r="B17" t="s">
        <v>41</v>
      </c>
      <c r="L17">
        <f>G2-G5</f>
        <v>-17000</v>
      </c>
    </row>
    <row r="18" spans="2:12" x14ac:dyDescent="0.3">
      <c r="B18" t="s">
        <v>42</v>
      </c>
      <c r="L18">
        <f>E11-E3</f>
        <v>5</v>
      </c>
    </row>
    <row r="19" spans="2:12" x14ac:dyDescent="0.3">
      <c r="B19" s="1" t="s">
        <v>43</v>
      </c>
      <c r="L19" t="s">
        <v>50</v>
      </c>
    </row>
    <row r="20" spans="2:12" x14ac:dyDescent="0.3">
      <c r="B20" t="s">
        <v>45</v>
      </c>
      <c r="L20" t="s">
        <v>51</v>
      </c>
    </row>
    <row r="21" spans="2:12" x14ac:dyDescent="0.3">
      <c r="B21" t="s">
        <v>46</v>
      </c>
      <c r="L21" t="s">
        <v>51</v>
      </c>
    </row>
    <row r="22" spans="2:12" x14ac:dyDescent="0.3">
      <c r="B22" s="1" t="s">
        <v>47</v>
      </c>
      <c r="L22" t="s">
        <v>72</v>
      </c>
    </row>
    <row r="23" spans="2:12" x14ac:dyDescent="0.3">
      <c r="B23" t="s">
        <v>49</v>
      </c>
      <c r="L23" t="s">
        <v>71</v>
      </c>
    </row>
    <row r="24" spans="2:12" x14ac:dyDescent="0.3">
      <c r="B24" t="s">
        <v>53</v>
      </c>
      <c r="L24">
        <f>G4/3</f>
        <v>400</v>
      </c>
    </row>
    <row r="25" spans="2:12" x14ac:dyDescent="0.3">
      <c r="B25" t="s">
        <v>54</v>
      </c>
      <c r="L25">
        <f>I5/2</f>
        <v>36000</v>
      </c>
    </row>
    <row r="26" spans="2:12" x14ac:dyDescent="0.3">
      <c r="B26" t="s">
        <v>55</v>
      </c>
      <c r="L26">
        <f>MAX(E2:E11)</f>
        <v>10</v>
      </c>
    </row>
    <row r="27" spans="2:12" x14ac:dyDescent="0.3">
      <c r="B27" t="s">
        <v>56</v>
      </c>
      <c r="L27">
        <f>MIN(E2:E11)</f>
        <v>1</v>
      </c>
    </row>
    <row r="28" spans="2:12" x14ac:dyDescent="0.3">
      <c r="B28" t="s">
        <v>57</v>
      </c>
      <c r="L28">
        <f>MAX(G2:G11)</f>
        <v>72000</v>
      </c>
    </row>
    <row r="29" spans="2:12" x14ac:dyDescent="0.3">
      <c r="B29" t="s">
        <v>58</v>
      </c>
      <c r="L29">
        <f>MIN(G2:G11)</f>
        <v>400</v>
      </c>
    </row>
    <row r="30" spans="2:12" x14ac:dyDescent="0.3">
      <c r="B30" t="s">
        <v>59</v>
      </c>
      <c r="L30">
        <f>MAX(I2:I11)</f>
        <v>110000</v>
      </c>
    </row>
    <row r="31" spans="2:12" x14ac:dyDescent="0.3">
      <c r="B31" t="s">
        <v>60</v>
      </c>
      <c r="L31">
        <f>MIN(I2:I11)</f>
        <v>3000</v>
      </c>
    </row>
    <row r="32" spans="2:12" x14ac:dyDescent="0.3">
      <c r="B32" t="s">
        <v>62</v>
      </c>
      <c r="L32" t="s">
        <v>67</v>
      </c>
    </row>
    <row r="33" spans="2:12" x14ac:dyDescent="0.3">
      <c r="B33" t="s">
        <v>64</v>
      </c>
      <c r="L33" t="s">
        <v>66</v>
      </c>
    </row>
    <row r="36" spans="2:12" x14ac:dyDescent="0.3">
      <c r="F36" t="s">
        <v>73</v>
      </c>
    </row>
  </sheetData>
  <pageMargins left="0.75" right="0.75" top="1" bottom="1" header="0.5" footer="0.5"/>
  <pageSetup orientation="portrait" r:id="rId1"/>
  <headerFooter>
    <oddFooter>&amp;CCreated By : Yogita_Mohite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Yogita Mohite</cp:lastModifiedBy>
  <dcterms:created xsi:type="dcterms:W3CDTF">2025-12-06T09:46:07Z</dcterms:created>
  <dcterms:modified xsi:type="dcterms:W3CDTF">2025-12-06T11:47:38Z</dcterms:modified>
</cp:coreProperties>
</file>